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1" sheetId="2" r:id="rId6"/>
    <sheet state="visible" name="Category Summary" sheetId="3" r:id="rId7"/>
    <sheet state="visible" name="Category Targe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<sst xmlns="http://schemas.openxmlformats.org/spreadsheetml/2006/main" count="78" uniqueCount="23">
  <si>
    <t>category</t>
  </si>
  <si>
    <t>Category</t>
  </si>
  <si>
    <t xml:space="preserve"> Category </t>
  </si>
  <si>
    <t>month</t>
  </si>
  <si>
    <t>target_revenue_inr</t>
  </si>
  <si>
    <t>order_count</t>
  </si>
  <si>
    <t>Bakery</t>
  </si>
  <si>
    <t>pivot_total_revenue</t>
  </si>
  <si>
    <t>total_revenue</t>
  </si>
  <si>
    <t>avg_revenue</t>
  </si>
  <si>
    <t>variance</t>
  </si>
  <si>
    <t>percentage_variance</t>
  </si>
  <si>
    <t xml:space="preserve"> tag</t>
  </si>
  <si>
    <t>Dairy &amp; Eggs</t>
  </si>
  <si>
    <t xml:space="preserve"> Matches part 1 SQL total?</t>
  </si>
  <si>
    <t>Fruits &amp; Vegetables</t>
  </si>
  <si>
    <t>Household Essentials</t>
  </si>
  <si>
    <t>Personal Care</t>
  </si>
  <si>
    <t>Snacks &amp; Beverages</t>
  </si>
  <si>
    <t>SUM of total_revenue</t>
  </si>
  <si>
    <t>SUM of order_count</t>
  </si>
  <si>
    <t>Grand Total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</si>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</sst>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8</v>
      </c>
      <c r="E1" s="1" t="s">
        <v>9</v>
      </c>
    </row>
    <row r="2">
      <c r="A2" s="1" t="s">
        <v>6</v>
      </c>
      <c r="B2" s="3">
        <v>46023.0</v>
      </c>
      <c r="C2" s="1">
        <v>6.0</v>
      </c>
      <c r="D2" s="1">
        <v>735.0</v>
      </c>
      <c r="E2" s="1">
        <v>122.5</v>
      </c>
    </row>
    <row r="3">
      <c r="A3" s="1" t="s">
        <v>6</v>
      </c>
      <c r="B3" s="3">
        <v>46054.0</v>
      </c>
      <c r="C3" s="1">
        <v>8.0</v>
      </c>
      <c r="D3" s="1">
        <v>2440.0</v>
      </c>
      <c r="E3" s="1">
        <v>305.0</v>
      </c>
    </row>
    <row r="4">
      <c r="A4" s="1" t="s">
        <v>6</v>
      </c>
      <c r="B4" s="3">
        <v>46082.0</v>
      </c>
      <c r="C4" s="1">
        <v>11.0</v>
      </c>
      <c r="D4" s="1">
        <v>3090.0</v>
      </c>
      <c r="E4" s="1">
        <v>280.90909090909</v>
      </c>
    </row>
    <row r="5">
      <c r="A5" s="1" t="s">
        <v>6</v>
      </c>
      <c r="B5" s="3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6</v>
      </c>
      <c r="B6" s="3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6</v>
      </c>
      <c r="B7" s="3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13</v>
      </c>
      <c r="B8" s="3">
        <v>46023.0</v>
      </c>
      <c r="C8" s="1">
        <v>9.0</v>
      </c>
      <c r="D8" s="1">
        <v>2035.0</v>
      </c>
      <c r="E8" s="1">
        <v>226.111111111111</v>
      </c>
    </row>
    <row r="9">
      <c r="A9" s="1" t="s">
        <v>13</v>
      </c>
      <c r="B9" s="3">
        <v>46054.0</v>
      </c>
      <c r="C9" s="1">
        <v>8.0</v>
      </c>
      <c r="D9" s="1">
        <v>1935.0</v>
      </c>
      <c r="E9" s="1">
        <v>241.875</v>
      </c>
    </row>
    <row r="10">
      <c r="A10" s="1" t="s">
        <v>13</v>
      </c>
      <c r="B10" s="3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13</v>
      </c>
      <c r="B11" s="3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13</v>
      </c>
      <c r="B12" s="3">
        <v>46143.0</v>
      </c>
      <c r="C12" s="1">
        <v>14.0</v>
      </c>
      <c r="D12" s="1">
        <v>3479.0</v>
      </c>
      <c r="E12" s="1">
        <v>248.5</v>
      </c>
    </row>
    <row r="13">
      <c r="A13" s="1" t="s">
        <v>13</v>
      </c>
      <c r="B13" s="3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15</v>
      </c>
      <c r="B14" s="3">
        <v>46023.0</v>
      </c>
      <c r="C14" s="1">
        <v>12.0</v>
      </c>
      <c r="D14" s="1">
        <v>1290.0</v>
      </c>
      <c r="E14" s="1">
        <v>107.5</v>
      </c>
    </row>
    <row r="15">
      <c r="A15" s="1" t="s">
        <v>15</v>
      </c>
      <c r="B15" s="3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15</v>
      </c>
      <c r="B16" s="3">
        <v>46082.0</v>
      </c>
      <c r="C16" s="1">
        <v>13.0</v>
      </c>
      <c r="D16" s="1">
        <v>2080.0</v>
      </c>
      <c r="E16" s="1">
        <v>160.0</v>
      </c>
    </row>
    <row r="17">
      <c r="A17" s="1" t="s">
        <v>15</v>
      </c>
      <c r="B17" s="3">
        <v>46113.0</v>
      </c>
      <c r="C17" s="1">
        <v>14.0</v>
      </c>
      <c r="D17" s="1">
        <v>1400.0</v>
      </c>
      <c r="E17" s="1">
        <v>100.0</v>
      </c>
    </row>
    <row r="18">
      <c r="A18" s="1" t="s">
        <v>15</v>
      </c>
      <c r="B18" s="3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15</v>
      </c>
      <c r="B19" s="3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16</v>
      </c>
      <c r="B20" s="3">
        <v>46023.0</v>
      </c>
      <c r="C20" s="1">
        <v>10.0</v>
      </c>
      <c r="D20" s="1">
        <v>2099.0</v>
      </c>
      <c r="E20" s="1">
        <v>209.9</v>
      </c>
    </row>
    <row r="21">
      <c r="A21" s="1" t="s">
        <v>16</v>
      </c>
      <c r="B21" s="3">
        <v>46054.0</v>
      </c>
      <c r="C21" s="1">
        <v>16.0</v>
      </c>
      <c r="D21" s="1">
        <v>5113.0</v>
      </c>
      <c r="E21" s="1">
        <v>319.5625</v>
      </c>
    </row>
    <row r="22">
      <c r="A22" s="1" t="s">
        <v>16</v>
      </c>
      <c r="B22" s="3">
        <v>46082.0</v>
      </c>
      <c r="C22" s="1">
        <v>8.0</v>
      </c>
      <c r="D22" s="1">
        <v>1885.0</v>
      </c>
      <c r="E22" s="1">
        <v>235.625</v>
      </c>
    </row>
    <row r="23">
      <c r="A23" s="1" t="s">
        <v>16</v>
      </c>
      <c r="B23" s="3">
        <v>46113.0</v>
      </c>
      <c r="C23" s="1">
        <v>17.0</v>
      </c>
      <c r="D23" s="1">
        <v>5491.0</v>
      </c>
      <c r="E23" s="1">
        <v>323.0</v>
      </c>
    </row>
    <row r="24">
      <c r="A24" s="1" t="s">
        <v>16</v>
      </c>
      <c r="B24" s="3">
        <v>46143.0</v>
      </c>
      <c r="C24" s="1">
        <v>16.0</v>
      </c>
      <c r="D24" s="1">
        <v>3477.0</v>
      </c>
      <c r="E24" s="1">
        <v>217.3125</v>
      </c>
    </row>
    <row r="25">
      <c r="A25" s="1" t="s">
        <v>16</v>
      </c>
      <c r="B25" s="3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17</v>
      </c>
      <c r="B26" s="3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17</v>
      </c>
      <c r="B27" s="3">
        <v>46054.0</v>
      </c>
      <c r="C27" s="1">
        <v>8.0</v>
      </c>
      <c r="D27" s="1">
        <v>2177.0</v>
      </c>
      <c r="E27" s="1">
        <v>272.125</v>
      </c>
    </row>
    <row r="28">
      <c r="A28" s="1" t="s">
        <v>17</v>
      </c>
      <c r="B28" s="3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17</v>
      </c>
      <c r="B29" s="3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17</v>
      </c>
      <c r="B30" s="3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17</v>
      </c>
      <c r="B31" s="3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18</v>
      </c>
      <c r="B32" s="3">
        <v>46023.0</v>
      </c>
      <c r="C32" s="1">
        <v>10.0</v>
      </c>
      <c r="D32" s="1">
        <v>1290.0</v>
      </c>
      <c r="E32" s="1">
        <v>129.0</v>
      </c>
    </row>
    <row r="33">
      <c r="A33" s="1" t="s">
        <v>18</v>
      </c>
      <c r="B33" s="3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18</v>
      </c>
      <c r="B34" s="3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18</v>
      </c>
      <c r="B35" s="3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18</v>
      </c>
      <c r="B36" s="3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18</v>
      </c>
      <c r="B37" s="3">
        <v>46174.0</v>
      </c>
      <c r="C37" s="1">
        <v>15.0</v>
      </c>
      <c r="D37" s="1">
        <v>1960.0</v>
      </c>
      <c r="E37" s="1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5"/>
    <col customWidth="1" min="3" max="3" width="15.5"/>
    <col customWidth="1" min="5" max="5" width="16.88"/>
    <col customWidth="1" min="6" max="6" width="17.13"/>
    <col customWidth="1" min="7" max="7" width="20.75"/>
  </cols>
  <sheetData>
    <row r="1">
      <c r="A1" s="1" t="s">
        <v>1</v>
      </c>
      <c r="B1" s="1" t="s">
        <v>7</v>
      </c>
      <c r="C1" s="1" t="s">
        <v>4</v>
      </c>
      <c r="D1" s="1" t="s">
        <v>10</v>
      </c>
      <c r="E1" s="1" t="s">
        <v>11</v>
      </c>
      <c r="F1" s="1" t="s">
        <v>12</v>
      </c>
      <c r="G1" s="1" t="s">
        <v>14</v>
      </c>
    </row>
    <row r="2">
      <c r="A2" s="2" t="s">
        <v>6</v>
      </c>
      <c r="B2" s="2">
        <f t="array" ref="B2">_xlfn.XLOOKUP(A2,'Pivot Table 1'!A:A,'Pivot Table 1'!B:B, "Not Found")</f>
        <v>15410</v>
      </c>
      <c r="C2" s="2">
        <f t="array" ref="C2">_xlfn.XLOOKUP(A2,'Category Targets'!A:A, 'Category Targets'!B:B, "Not Found")</f>
        <v>12000</v>
      </c>
      <c r="D2" s="2">
        <f t="shared" ref="D2:D7" si="1">C2-B2</f>
        <v>-3410</v>
      </c>
      <c r="E2" s="2">
        <f t="shared" ref="E2:E7" si="2">((B2-C2)/C2)*100</f>
        <v>28.41666667</v>
      </c>
      <c r="F2" s="2" t="str">
        <f t="shared" ref="F2:F7" si="3">IF(B2&gt;=C2, "Above Target", IF((C2-B2)/C2&lt;=0.15, "Below Target - Watch", "Below Target - Critical"))</f>
        <v>Above Target</v>
      </c>
      <c r="G2" s="1" t="s">
        <v>22</v>
      </c>
    </row>
    <row r="3">
      <c r="A3" s="2" t="s">
        <v>13</v>
      </c>
      <c r="B3" s="2">
        <f t="array" ref="B3">_xlfn.XLOOKUP(A3,'Pivot Table 1'!A:A,'Pivot Table 1'!B:B, "Not Found")</f>
        <v>14090</v>
      </c>
      <c r="C3" s="2">
        <f t="array" ref="C3">_xlfn.XLOOKUP(A3,'Category Targets'!A:A, 'Category Targets'!B:B, "Not Found")</f>
        <v>16500</v>
      </c>
      <c r="D3" s="2">
        <f t="shared" si="1"/>
        <v>2410</v>
      </c>
      <c r="E3" s="2">
        <f t="shared" si="2"/>
        <v>-14.60606061</v>
      </c>
      <c r="F3" s="2" t="str">
        <f t="shared" si="3"/>
        <v>Below Target - Watch</v>
      </c>
      <c r="G3" s="1" t="s">
        <v>22</v>
      </c>
    </row>
    <row r="4">
      <c r="A4" s="2" t="s">
        <v>15</v>
      </c>
      <c r="B4" s="2">
        <f t="array" ref="B4">_xlfn.XLOOKUP(A4,'Pivot Table 1'!A:A,'Pivot Table 1'!B:B, "Not Found")</f>
        <v>9790</v>
      </c>
      <c r="C4" s="2">
        <f t="array" ref="C4">_xlfn.XLOOKUP(A4,'Category Targets'!A:A, 'Category Targets'!B:B, "Not Found")</f>
        <v>12000</v>
      </c>
      <c r="D4" s="2">
        <f t="shared" si="1"/>
        <v>2210</v>
      </c>
      <c r="E4" s="2">
        <f t="shared" si="2"/>
        <v>-18.41666667</v>
      </c>
      <c r="F4" s="2" t="str">
        <f t="shared" si="3"/>
        <v>Below Target - Critical</v>
      </c>
      <c r="G4" s="1" t="s">
        <v>22</v>
      </c>
    </row>
    <row r="5">
      <c r="A5" s="2" t="s">
        <v>16</v>
      </c>
      <c r="B5" s="2">
        <f t="array" ref="B5">_xlfn.XLOOKUP(A5,'Pivot Table 1'!A:A,'Pivot Table 1'!B:B, "Not Found")</f>
        <v>21715</v>
      </c>
      <c r="C5" s="2">
        <f t="array" ref="C5">_xlfn.XLOOKUP(A5,'Category Targets'!A:A, 'Category Targets'!B:B, "Not Found")</f>
        <v>17000</v>
      </c>
      <c r="D5" s="2">
        <f t="shared" si="1"/>
        <v>-4715</v>
      </c>
      <c r="E5" s="2">
        <f t="shared" si="2"/>
        <v>27.73529412</v>
      </c>
      <c r="F5" s="2" t="str">
        <f t="shared" si="3"/>
        <v>Above Target</v>
      </c>
      <c r="G5" s="1" t="s">
        <v>22</v>
      </c>
    </row>
    <row r="6">
      <c r="A6" s="2" t="s">
        <v>17</v>
      </c>
      <c r="B6" s="2">
        <f t="array" ref="B6">_xlfn.XLOOKUP(A6,'Pivot Table 1'!A:A,'Pivot Table 1'!B:B, "Not Found")</f>
        <v>16382</v>
      </c>
      <c r="C6" s="2">
        <f t="array" ref="C6">_xlfn.XLOOKUP(A6,'Category Targets'!A:A, 'Category Targets'!B:B, "Not Found")</f>
        <v>15500</v>
      </c>
      <c r="D6" s="2">
        <f t="shared" si="1"/>
        <v>-882</v>
      </c>
      <c r="E6" s="2">
        <f t="shared" si="2"/>
        <v>5.690322581</v>
      </c>
      <c r="F6" s="2" t="str">
        <f t="shared" si="3"/>
        <v>Above Target</v>
      </c>
      <c r="G6" s="1" t="s">
        <v>22</v>
      </c>
    </row>
    <row r="7">
      <c r="A7" s="2" t="s">
        <v>18</v>
      </c>
      <c r="B7" s="2">
        <f t="array" ref="B7">_xlfn.XLOOKUP(A7,'Pivot Table 1'!A:A,'Pivot Table 1'!B:B, "Not Found")</f>
        <v>10895</v>
      </c>
      <c r="C7" s="2">
        <f t="array" ref="C7">_xlfn.XLOOKUP(A7,'Category Targets'!A:A, 'Category Targets'!B:B, "Not Found")</f>
        <v>13000</v>
      </c>
      <c r="D7" s="2">
        <f t="shared" si="1"/>
        <v>2105</v>
      </c>
      <c r="E7" s="2">
        <f t="shared" si="2"/>
        <v>-16.19230769</v>
      </c>
      <c r="F7" s="2" t="str">
        <f t="shared" si="3"/>
        <v>Below Target - Critical</v>
      </c>
      <c r="G7" s="1" t="s">
        <v>22</v>
      </c>
    </row>
  </sheetData>
  <conditionalFormatting sqref="F2:F7">
    <cfRule type="containsText" dxfId="0" priority="1" operator="containsText" text="Above Target">
      <formula>NOT(ISERROR(SEARCH(("Above Target"),(F2))))</formula>
    </cfRule>
  </conditionalFormatting>
  <conditionalFormatting sqref="F2:F7">
    <cfRule type="containsText" dxfId="1" priority="2" operator="containsText" text="Watch">
      <formula>NOT(ISERROR(SEARCH(("Watch"),(F2))))</formula>
    </cfRule>
  </conditionalFormatting>
  <conditionalFormatting sqref="F2:F7">
    <cfRule type="containsText" dxfId="2" priority="3" operator="containsText" text="Critical">
      <formula>NOT(ISERROR(SEARCH(("Critical"),(F2))))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63"/>
  </cols>
  <sheetData>
    <row r="1">
      <c r="A1" s="1" t="s">
        <v>2</v>
      </c>
      <c r="B1" s="1" t="s">
        <v>4</v>
      </c>
    </row>
    <row r="2">
      <c r="A2" s="2" t="s">
        <v>6</v>
      </c>
      <c r="B2" s="1">
        <v>12000.0</v>
      </c>
    </row>
    <row r="3">
      <c r="A3" s="2" t="s">
        <v>13</v>
      </c>
      <c r="B3" s="1">
        <v>16500.0</v>
      </c>
    </row>
    <row r="4">
      <c r="A4" s="2" t="s">
        <v>15</v>
      </c>
      <c r="B4" s="1">
        <v>12000.0</v>
      </c>
    </row>
    <row r="5">
      <c r="A5" s="2" t="s">
        <v>16</v>
      </c>
      <c r="B5" s="1">
        <v>17000.0</v>
      </c>
    </row>
    <row r="6">
      <c r="A6" s="2" t="s">
        <v>17</v>
      </c>
      <c r="B6" s="1">
        <v>15500.0</v>
      </c>
    </row>
    <row r="7">
      <c r="A7" s="2" t="s">
        <v>18</v>
      </c>
      <c r="B7" s="1">
        <v>13000.0</v>
      </c>
    </row>
  </sheetData>
  <drawing r:id="rId1"/>
</worksheet>
</file>